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O\Claude\Excel\"/>
    </mc:Choice>
  </mc:AlternateContent>
  <xr:revisionPtr revIDLastSave="0" documentId="13_ncr:1_{6369EDA3-5394-49AC-A20C-EFA8C080649E}" xr6:coauthVersionLast="47" xr6:coauthVersionMax="47" xr10:uidLastSave="{00000000-0000-0000-0000-000000000000}"/>
  <bookViews>
    <workbookView xWindow="-120" yWindow="-120" windowWidth="20730" windowHeight="11160" xr2:uid="{99682217-3129-4195-A650-30F249117ACA}"/>
  </bookViews>
  <sheets>
    <sheet name="Reis_Invest" sheetId="1" r:id="rId1"/>
    <sheet name="Tab_apoio" sheetId="2" r:id="rId2"/>
  </sheets>
  <definedNames>
    <definedName name="aporte">Reis_Invest!$D$14</definedName>
    <definedName name="insira_perfil">Reis_Invest!$C$30</definedName>
    <definedName name="patrimonio">Reis_Invest!$D$17</definedName>
    <definedName name="qtd_anos">Reis_Invest!$D$15</definedName>
    <definedName name="Rendimento_carteira">Reis_Invest!$D$10</definedName>
    <definedName name="salario">Reis_Invest!$D$9</definedName>
    <definedName name="sugestao_investimento">Reis_Invest!$D$11</definedName>
    <definedName name="taxa_mensal">Reis_Invest!$D$16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35" i="1"/>
  <c r="C36" i="1"/>
  <c r="C37" i="1"/>
  <c r="C38" i="1"/>
  <c r="C39" i="1"/>
  <c r="C34" i="1"/>
  <c r="A15" i="2"/>
  <c r="A16" i="2"/>
  <c r="A17" i="2"/>
  <c r="A18" i="2"/>
  <c r="A19" i="2"/>
  <c r="A14" i="2"/>
  <c r="A9" i="2"/>
  <c r="A10" i="2"/>
  <c r="A11" i="2"/>
  <c r="A12" i="2"/>
  <c r="A13" i="2"/>
  <c r="A8" i="2"/>
  <c r="A3" i="2"/>
  <c r="A4" i="2"/>
  <c r="A5" i="2"/>
  <c r="A6" i="2"/>
  <c r="A7" i="2"/>
  <c r="A2" i="2"/>
  <c r="C31" i="1"/>
  <c r="D17" i="1"/>
  <c r="D18" i="1" s="1"/>
  <c r="C22" i="1"/>
  <c r="D22" i="1" s="1"/>
  <c r="C23" i="1"/>
  <c r="D23" i="1" s="1"/>
  <c r="C24" i="1"/>
  <c r="D24" i="1" s="1"/>
  <c r="C25" i="1"/>
  <c r="D25" i="1" s="1"/>
  <c r="C21" i="1"/>
  <c r="D21" i="1" s="1"/>
  <c r="D36" i="1" l="1"/>
  <c r="D35" i="1"/>
  <c r="D34" i="1"/>
  <c r="D39" i="1"/>
  <c r="D38" i="1"/>
  <c r="D37" i="1"/>
  <c r="D40" i="1" l="1"/>
</calcChain>
</file>

<file path=xl/sharedStrings.xml><?xml version="1.0" encoding="utf-8"?>
<sst xmlns="http://schemas.openxmlformats.org/spreadsheetml/2006/main" count="73" uniqueCount="39">
  <si>
    <t>INVESTIMENTO MENSAL</t>
  </si>
  <si>
    <t>Quantos investir por mês?</t>
  </si>
  <si>
    <t>Taxa de rendimento mensal?</t>
  </si>
  <si>
    <t>Patrimônio acumulado?</t>
  </si>
  <si>
    <t>Dividendos mensais?</t>
  </si>
  <si>
    <t>Quanto em 2 anos?</t>
  </si>
  <si>
    <t>Quanto em 30 anos?</t>
  </si>
  <si>
    <t>Quanto em 5 anos?</t>
  </si>
  <si>
    <t>Quanto em 10 anos?</t>
  </si>
  <si>
    <t>Quanto em 20 anos?</t>
  </si>
  <si>
    <t>Rendimento Carteira</t>
  </si>
  <si>
    <t>Salário</t>
  </si>
  <si>
    <t>CONFIGURAÇÕES</t>
  </si>
  <si>
    <t>Por quanto tempo (em anos)?</t>
  </si>
  <si>
    <t>PERFIL</t>
  </si>
  <si>
    <t>Moderado</t>
  </si>
  <si>
    <t>Conservador</t>
  </si>
  <si>
    <t>Agressivo</t>
  </si>
  <si>
    <t>TIPO DE FII</t>
  </si>
  <si>
    <t>PAPEL</t>
  </si>
  <si>
    <t>TIJOLO</t>
  </si>
  <si>
    <t>Percentual Sugerido</t>
  </si>
  <si>
    <t>Valores</t>
  </si>
  <si>
    <t>HIBRIDOS</t>
  </si>
  <si>
    <t>FOFs</t>
  </si>
  <si>
    <t>DESENVOLVIMENTO</t>
  </si>
  <si>
    <t>HOTELARIAS</t>
  </si>
  <si>
    <t>%</t>
  </si>
  <si>
    <t>CHAVE COMPOSTA</t>
  </si>
  <si>
    <t>Selecione seu perfil</t>
  </si>
  <si>
    <t>CENÁRIOS FUTUROS</t>
  </si>
  <si>
    <t>VALOR INVESTIDO</t>
  </si>
  <si>
    <t>DIVIDENDOS</t>
  </si>
  <si>
    <t>Tipos de Fundos imobiliários (FII's)</t>
  </si>
  <si>
    <t>Valor a ser investido por mês</t>
  </si>
  <si>
    <t>Total</t>
  </si>
  <si>
    <t>SUGESTÕES DE INVESTIMENTOS</t>
  </si>
  <si>
    <t>Perfil de Investimento</t>
  </si>
  <si>
    <t>Sugestão de Investimento (20% do salário)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</si>
</sst>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0"/>
      <name val="Segoe UI"/>
      <family val="2"/>
    </font>
    <font>
      <sz val="10"/>
      <color theme="1"/>
      <name val="Segoe UI"/>
      <family val="2"/>
    </font>
    <font>
      <sz val="12"/>
      <color rgb="FF1E1B4B"/>
      <name val="Segoe UI"/>
      <family val="2"/>
    </font>
    <font>
      <sz val="11"/>
      <color rgb="FF1E1B4B"/>
      <name val="Segoe UI"/>
      <family val="2"/>
    </font>
    <font>
      <b/>
      <sz val="12"/>
      <color rgb="FF1E1B4B"/>
      <name val="Segoe UI"/>
      <family val="2"/>
    </font>
    <font>
      <b/>
      <sz val="11"/>
      <color rgb="FF1E1B4B"/>
      <name val="Segoe UI"/>
      <family val="2"/>
    </font>
    <font>
      <b/>
      <sz val="14"/>
      <color theme="0"/>
      <name val="Segoe UI"/>
      <family val="2"/>
    </font>
    <font>
      <b/>
      <sz val="12"/>
      <color theme="0"/>
      <name val="Segoe UI"/>
      <family val="2"/>
    </font>
    <font>
      <sz val="11"/>
      <color theme="0"/>
      <name val="Segoe UI"/>
      <family val="2"/>
    </font>
    <font>
      <b/>
      <sz val="10"/>
      <color rgb="FF1E1B4B"/>
      <name val="Segoe UI"/>
      <family val="2"/>
    </font>
    <font>
      <b/>
      <sz val="11"/>
      <color theme="0"/>
      <name val="Segoe UI"/>
      <family val="2"/>
    </font>
    <font>
      <b/>
      <i/>
      <sz val="10"/>
      <color rgb="FF1E1B4B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E1B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1E1B4B"/>
      </left>
      <right style="thick">
        <color rgb="FF1E1B4B"/>
      </right>
      <top style="thick">
        <color rgb="FF1E1B4B"/>
      </top>
      <bottom style="thick">
        <color rgb="FF1E1B4B"/>
      </bottom>
      <diagonal/>
    </border>
    <border>
      <left style="thick">
        <color rgb="FF1E1B4B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1E1B4B"/>
      </right>
      <top/>
      <bottom style="thin">
        <color theme="0" tint="-0.24994659260841701"/>
      </bottom>
      <diagonal/>
    </border>
    <border>
      <left style="thick">
        <color rgb="FF1E1B4B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1E1B4B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1E1B4B"/>
      </left>
      <right style="thin">
        <color theme="0" tint="-0.24994659260841701"/>
      </right>
      <top style="thin">
        <color theme="0" tint="-0.24994659260841701"/>
      </top>
      <bottom style="thick">
        <color rgb="FF1E1B4B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1E1B4B"/>
      </bottom>
      <diagonal/>
    </border>
    <border>
      <left style="thin">
        <color theme="0" tint="-0.24994659260841701"/>
      </left>
      <right style="thick">
        <color rgb="FF1E1B4B"/>
      </right>
      <top style="thin">
        <color theme="0" tint="-0.24994659260841701"/>
      </top>
      <bottom style="thick">
        <color rgb="FF1E1B4B"/>
      </bottom>
      <diagonal/>
    </border>
    <border>
      <left style="thick">
        <color rgb="FF1E1B4B"/>
      </left>
      <right/>
      <top style="thick">
        <color rgb="FF1E1B4B"/>
      </top>
      <bottom style="thick">
        <color rgb="FF1E1B4B"/>
      </bottom>
      <diagonal/>
    </border>
    <border>
      <left/>
      <right/>
      <top style="thick">
        <color rgb="FF1E1B4B"/>
      </top>
      <bottom style="thick">
        <color rgb="FF1E1B4B"/>
      </bottom>
      <diagonal/>
    </border>
    <border>
      <left/>
      <right style="thick">
        <color rgb="FF1E1B4B"/>
      </right>
      <top style="thick">
        <color rgb="FF1E1B4B"/>
      </top>
      <bottom style="thick">
        <color rgb="FF1E1B4B"/>
      </bottom>
      <diagonal/>
    </border>
    <border>
      <left style="thick">
        <color rgb="FF1E1B4B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rgb="FF1E1B4B"/>
      </right>
      <top style="thin">
        <color theme="0" tint="-0.2499465926084170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5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8" fontId="6" fillId="8" borderId="0" xfId="0" applyNumberFormat="1" applyFont="1" applyFill="1" applyAlignment="1">
      <alignment horizontal="center" vertical="center"/>
    </xf>
    <xf numFmtId="0" fontId="10" fillId="3" borderId="6" xfId="0" applyFont="1" applyFill="1" applyBorder="1" applyAlignment="1">
      <alignment horizontal="left" vertical="center" indent="3"/>
    </xf>
    <xf numFmtId="0" fontId="10" fillId="3" borderId="8" xfId="0" applyFont="1" applyFill="1" applyBorder="1" applyAlignment="1">
      <alignment horizontal="left" vertical="center" indent="3"/>
    </xf>
    <xf numFmtId="0" fontId="10" fillId="3" borderId="10" xfId="0" applyFont="1" applyFill="1" applyBorder="1" applyAlignment="1">
      <alignment horizontal="left" vertical="center" indent="3"/>
    </xf>
    <xf numFmtId="8" fontId="11" fillId="8" borderId="0" xfId="0" applyNumberFormat="1" applyFont="1" applyFill="1" applyAlignment="1">
      <alignment horizontal="center" vertical="center"/>
    </xf>
    <xf numFmtId="8" fontId="12" fillId="3" borderId="9" xfId="0" applyNumberFormat="1" applyFont="1" applyFill="1" applyBorder="1" applyAlignment="1">
      <alignment horizontal="center" vertical="center"/>
    </xf>
    <xf numFmtId="8" fontId="12" fillId="3" borderId="12" xfId="0" applyNumberFormat="1" applyFont="1" applyFill="1" applyBorder="1" applyAlignment="1">
      <alignment horizontal="center" vertical="center"/>
    </xf>
    <xf numFmtId="164" fontId="10" fillId="3" borderId="12" xfId="0" applyNumberFormat="1" applyFont="1" applyFill="1" applyBorder="1" applyAlignment="1">
      <alignment horizontal="center" vertical="center"/>
    </xf>
    <xf numFmtId="8" fontId="10" fillId="3" borderId="2" xfId="0" applyNumberFormat="1" applyFont="1" applyFill="1" applyBorder="1" applyAlignment="1">
      <alignment horizontal="center" vertical="center"/>
    </xf>
    <xf numFmtId="8" fontId="10" fillId="3" borderId="7" xfId="0" applyNumberFormat="1" applyFont="1" applyFill="1" applyBorder="1" applyAlignment="1">
      <alignment horizontal="center" vertical="center"/>
    </xf>
    <xf numFmtId="8" fontId="10" fillId="3" borderId="1" xfId="0" applyNumberFormat="1" applyFont="1" applyFill="1" applyBorder="1" applyAlignment="1">
      <alignment horizontal="center" vertical="center"/>
    </xf>
    <xf numFmtId="8" fontId="10" fillId="3" borderId="9" xfId="0" applyNumberFormat="1" applyFont="1" applyFill="1" applyBorder="1" applyAlignment="1">
      <alignment horizontal="center" vertical="center"/>
    </xf>
    <xf numFmtId="8" fontId="10" fillId="3" borderId="11" xfId="0" applyNumberFormat="1" applyFont="1" applyFill="1" applyBorder="1" applyAlignment="1">
      <alignment horizontal="center" vertical="center"/>
    </xf>
    <xf numFmtId="8" fontId="10" fillId="3" borderId="12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15" fillId="6" borderId="5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11" fillId="3" borderId="0" xfId="2" applyFont="1" applyFill="1" applyAlignment="1">
      <alignment horizontal="center" vertical="center"/>
    </xf>
    <xf numFmtId="0" fontId="11" fillId="3" borderId="0" xfId="2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9" fontId="11" fillId="3" borderId="2" xfId="0" applyNumberFormat="1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9" fontId="11" fillId="3" borderId="4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4" fontId="11" fillId="3" borderId="9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164" fontId="18" fillId="6" borderId="15" xfId="0" applyNumberFormat="1" applyFont="1" applyFill="1" applyBorder="1" applyAlignment="1">
      <alignment horizontal="center" vertical="center"/>
    </xf>
    <xf numFmtId="164" fontId="10" fillId="9" borderId="7" xfId="1" applyNumberFormat="1" applyFont="1" applyFill="1" applyBorder="1" applyAlignment="1" applyProtection="1">
      <alignment horizontal="center" vertical="center"/>
      <protection locked="0"/>
    </xf>
    <xf numFmtId="10" fontId="10" fillId="9" borderId="9" xfId="0" applyNumberFormat="1" applyFont="1" applyFill="1" applyBorder="1" applyAlignment="1" applyProtection="1">
      <alignment horizontal="center" vertical="center"/>
      <protection locked="0"/>
    </xf>
    <xf numFmtId="164" fontId="10" fillId="5" borderId="7" xfId="3" applyNumberFormat="1" applyFont="1" applyBorder="1" applyAlignment="1" applyProtection="1">
      <alignment horizontal="center" vertical="center"/>
      <protection locked="0"/>
    </xf>
    <xf numFmtId="0" fontId="10" fillId="5" borderId="9" xfId="3" applyFont="1" applyBorder="1" applyAlignment="1" applyProtection="1">
      <alignment horizontal="center" vertical="center"/>
      <protection locked="0"/>
    </xf>
    <xf numFmtId="10" fontId="10" fillId="5" borderId="9" xfId="3" applyNumberFormat="1" applyFont="1" applyBorder="1" applyAlignment="1" applyProtection="1">
      <alignment horizontal="center" vertical="center"/>
      <protection locked="0"/>
    </xf>
    <xf numFmtId="164" fontId="13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 indent="2"/>
    </xf>
    <xf numFmtId="0" fontId="11" fillId="3" borderId="0" xfId="0" applyFont="1" applyFill="1" applyAlignment="1">
      <alignment vertical="center"/>
    </xf>
    <xf numFmtId="0" fontId="17" fillId="5" borderId="0" xfId="3" applyFont="1" applyAlignment="1" applyProtection="1">
      <alignment horizontal="center" vertical="center"/>
      <protection locked="0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left" vertical="center" indent="3"/>
    </xf>
    <xf numFmtId="0" fontId="10" fillId="3" borderId="11" xfId="0" applyFont="1" applyFill="1" applyBorder="1" applyAlignment="1">
      <alignment horizontal="left" vertical="center" indent="3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 indent="3"/>
    </xf>
    <xf numFmtId="0" fontId="10" fillId="3" borderId="2" xfId="0" applyFont="1" applyFill="1" applyBorder="1" applyAlignment="1">
      <alignment horizontal="left" vertical="center" indent="3"/>
    </xf>
    <xf numFmtId="0" fontId="10" fillId="3" borderId="8" xfId="0" applyFont="1" applyFill="1" applyBorder="1" applyAlignment="1">
      <alignment horizontal="left" vertical="center" indent="3"/>
    </xf>
    <xf numFmtId="0" fontId="10" fillId="3" borderId="1" xfId="0" applyFont="1" applyFill="1" applyBorder="1" applyAlignment="1">
      <alignment horizontal="left" vertical="center" indent="3"/>
    </xf>
    <xf numFmtId="0" fontId="12" fillId="3" borderId="8" xfId="0" applyFont="1" applyFill="1" applyBorder="1" applyAlignment="1">
      <alignment horizontal="left" vertical="center" indent="3"/>
    </xf>
    <xf numFmtId="0" fontId="12" fillId="3" borderId="1" xfId="0" applyFont="1" applyFill="1" applyBorder="1" applyAlignment="1">
      <alignment horizontal="left" vertical="center" indent="3"/>
    </xf>
    <xf numFmtId="0" fontId="12" fillId="3" borderId="10" xfId="0" applyFont="1" applyFill="1" applyBorder="1" applyAlignment="1">
      <alignment horizontal="left" vertical="center" indent="3"/>
    </xf>
    <xf numFmtId="0" fontId="12" fillId="3" borderId="11" xfId="0" applyFont="1" applyFill="1" applyBorder="1" applyAlignment="1">
      <alignment horizontal="left" vertical="center" indent="3"/>
    </xf>
  </cellXfs>
  <cellStyles count="4">
    <cellStyle name="20% - Ênfase1" xfId="3" builtinId="30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1E1B4B"/>
      <color rgb="FF0F1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E1B4B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b="1">
                <a:solidFill>
                  <a:srgbClr val="1E1B4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Divisão</a:t>
            </a:r>
            <a:r>
              <a:rPr lang="pt-BR" b="1" baseline="0">
                <a:solidFill>
                  <a:srgbClr val="1E1B4B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da Sugestão da Carteira de Investimentos</a:t>
            </a:r>
            <a:endParaRPr lang="pt-BR" b="1">
              <a:solidFill>
                <a:srgbClr val="1E1B4B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E1B4B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021207349081366"/>
          <c:y val="0.24890274431028397"/>
          <c:w val="0.41001045304119593"/>
          <c:h val="0.6115589582253053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38-403F-AE18-149085267118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38-403F-AE18-149085267118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38-403F-AE18-149085267118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38-403F-AE18-149085267118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38-403F-AE18-149085267118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38-403F-AE18-149085267118}"/>
              </c:ext>
            </c:extLst>
          </c:dPt>
          <c:dLbls>
            <c:dLbl>
              <c:idx val="0"/>
              <c:layout>
                <c:manualLayout>
                  <c:x val="2.318840579710145E-2"/>
                  <c:y val="-4.46677755060915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38-403F-AE18-149085267118}"/>
                </c:ext>
              </c:extLst>
            </c:dLbl>
            <c:dLbl>
              <c:idx val="1"/>
              <c:layout>
                <c:manualLayout>
                  <c:x val="2.5507246376811551E-2"/>
                  <c:y val="3.38743992191481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38-403F-AE18-149085267118}"/>
                </c:ext>
              </c:extLst>
            </c:dLbl>
            <c:dLbl>
              <c:idx val="2"/>
              <c:layout>
                <c:manualLayout>
                  <c:x val="-9.2753623188405795E-3"/>
                  <c:y val="7.18368860923861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38-403F-AE18-149085267118}"/>
                </c:ext>
              </c:extLst>
            </c:dLbl>
            <c:dLbl>
              <c:idx val="3"/>
              <c:layout>
                <c:manualLayout>
                  <c:x val="-6.9565217391304363E-2"/>
                  <c:y val="9.0727168148919575E-3"/>
                </c:manualLayout>
              </c:layout>
              <c:spPr>
                <a:solidFill>
                  <a:srgbClr val="4472C4">
                    <a:lumMod val="60000"/>
                    <a:lumOff val="40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E1B4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00993"/>
                        <a:gd name="adj2" fmla="val -4522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3038-403F-AE18-149085267118}"/>
                </c:ext>
              </c:extLst>
            </c:dLbl>
            <c:dLbl>
              <c:idx val="4"/>
              <c:layout>
                <c:manualLayout>
                  <c:x val="-4.9503046901745978E-2"/>
                  <c:y val="2.68006540504503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38-403F-AE18-149085267118}"/>
                </c:ext>
              </c:extLst>
            </c:dLbl>
            <c:dLbl>
              <c:idx val="5"/>
              <c:layout>
                <c:manualLayout>
                  <c:x val="2.5507246376811593E-2"/>
                  <c:y val="-3.7906657283664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38-403F-AE18-149085267118}"/>
                </c:ext>
              </c:extLst>
            </c:dLbl>
            <c:spPr>
              <a:solidFill>
                <a:srgbClr val="4472C4">
                  <a:lumMod val="60000"/>
                  <a:lumOff val="40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E1B4B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Reis_Invest!$B$34:$B$39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Reis_Invest!$C$34:$C$39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E-4853-802C-78A1CC22C2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solidFill>
        <a:srgbClr val="1E1B4B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220756</xdr:colOff>
      <xdr:row>40</xdr:row>
      <xdr:rowOff>223837</xdr:rowOff>
    </xdr:from>
    <xdr:to>
      <xdr:col>3</xdr:col>
      <xdr:colOff>1241638</xdr:colOff>
      <xdr:row>58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753D6CD-DA5A-0861-B567-87E8B07CB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190500</xdr:colOff>
      <xdr:row>5</xdr:row>
      <xdr:rowOff>190500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F53E511-9D64-74B9-AEA1-F34124558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38825" cy="1238250"/>
        </a:xfrm>
        <a:prstGeom prst="rect">
          <a:avLst/>
        </a:prstGeom>
      </xdr:spPr>
    </xdr:pic>
    <xdr:clientData/>
  </xdr:twoCellAnchor>
  <xdr:twoCellAnchor editAs="oneCell">
    <xdr:from>
      <xdr:col>2</xdr:col>
      <xdr:colOff>1496895</xdr:colOff>
      <xdr:row>27</xdr:row>
      <xdr:rowOff>219074</xdr:rowOff>
    </xdr:from>
    <xdr:to>
      <xdr:col>3</xdr:col>
      <xdr:colOff>28574</xdr:colOff>
      <xdr:row>29</xdr:row>
      <xdr:rowOff>24586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1119365-D427-06D8-2A08-6461AA39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2470" y="6896099"/>
          <a:ext cx="246179" cy="2722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3798-2A81-4CDD-98CC-77906CFA8468}">
  <dimension ref="A1:G59"/>
  <sheetViews>
    <sheetView showGridLines="0" tabSelected="1" zoomScale="85" zoomScaleNormal="85" workbookViewId="0">
      <selection activeCell="D37" sqref="D37"/>
    </sheetView>
  </sheetViews>
  <sheetFormatPr defaultColWidth="0" defaultRowHeight="16.5" zeroHeight="1" x14ac:dyDescent="0.25"/>
  <cols>
    <col min="1" max="1" width="3.28515625" style="2" bestFit="1" customWidth="1"/>
    <col min="2" max="2" width="37.140625" style="2" bestFit="1" customWidth="1"/>
    <col min="3" max="3" width="25.7109375" style="2" bestFit="1" customWidth="1"/>
    <col min="4" max="4" width="18.5703125" style="2" bestFit="1" customWidth="1"/>
    <col min="5" max="5" width="3" style="23" customWidth="1"/>
    <col min="6" max="7" width="4.140625" style="2" hidden="1" customWidth="1"/>
    <col min="8" max="9" width="9.140625" style="2" hidden="1" customWidth="1"/>
    <col min="10" max="16384" width="9.140625" style="2" hidden="1"/>
  </cols>
  <sheetData>
    <row r="1" spans="1:5" s="27" customFormat="1" x14ac:dyDescent="0.25">
      <c r="A1" s="25"/>
      <c r="B1" s="25"/>
      <c r="C1" s="25"/>
      <c r="D1" s="25"/>
      <c r="E1" s="26"/>
    </row>
    <row r="2" spans="1:5" s="27" customFormat="1" x14ac:dyDescent="0.25">
      <c r="A2" s="25"/>
      <c r="B2" s="25"/>
      <c r="C2" s="25"/>
      <c r="D2" s="25"/>
      <c r="E2" s="26"/>
    </row>
    <row r="3" spans="1:5" s="27" customFormat="1" x14ac:dyDescent="0.25">
      <c r="A3" s="25"/>
      <c r="B3" s="25"/>
      <c r="C3" s="25"/>
      <c r="D3" s="25"/>
      <c r="E3" s="26"/>
    </row>
    <row r="4" spans="1:5" s="27" customFormat="1" x14ac:dyDescent="0.25">
      <c r="A4" s="25"/>
      <c r="B4" s="25"/>
      <c r="C4" s="25"/>
      <c r="D4" s="25"/>
      <c r="E4" s="26"/>
    </row>
    <row r="5" spans="1:5" s="27" customFormat="1" x14ac:dyDescent="0.25">
      <c r="A5" s="25"/>
      <c r="B5" s="25"/>
      <c r="C5" s="25"/>
      <c r="D5" s="25"/>
      <c r="E5" s="26"/>
    </row>
    <row r="6" spans="1:5" s="27" customFormat="1" x14ac:dyDescent="0.25">
      <c r="A6" s="25"/>
      <c r="B6" s="25"/>
      <c r="C6" s="25"/>
      <c r="D6" s="25"/>
      <c r="E6" s="26"/>
    </row>
    <row r="7" spans="1:5" s="27" customFormat="1" ht="17.25" thickBot="1" x14ac:dyDescent="0.3">
      <c r="A7" s="25"/>
      <c r="B7" s="25"/>
      <c r="C7" s="25"/>
      <c r="D7" s="25"/>
      <c r="E7" s="26"/>
    </row>
    <row r="8" spans="1:5" ht="27.95" customHeight="1" thickTop="1" thickBot="1" x14ac:dyDescent="0.3">
      <c r="B8" s="67" t="s">
        <v>12</v>
      </c>
      <c r="C8" s="68"/>
      <c r="D8" s="69"/>
    </row>
    <row r="9" spans="1:5" ht="18.95" customHeight="1" thickTop="1" x14ac:dyDescent="0.25">
      <c r="B9" s="70" t="s">
        <v>11</v>
      </c>
      <c r="C9" s="71"/>
      <c r="D9" s="53">
        <v>1000</v>
      </c>
    </row>
    <row r="10" spans="1:5" ht="18.95" customHeight="1" x14ac:dyDescent="0.25">
      <c r="B10" s="72" t="s">
        <v>10</v>
      </c>
      <c r="C10" s="73"/>
      <c r="D10" s="54">
        <v>0</v>
      </c>
    </row>
    <row r="11" spans="1:5" ht="18.95" customHeight="1" thickBot="1" x14ac:dyDescent="0.3">
      <c r="B11" s="65" t="s">
        <v>38</v>
      </c>
      <c r="C11" s="66"/>
      <c r="D11" s="14">
        <f>D9*20%</f>
        <v>200</v>
      </c>
    </row>
    <row r="12" spans="1:5" ht="18" thickTop="1" thickBot="1" x14ac:dyDescent="0.3"/>
    <row r="13" spans="1:5" ht="27.95" customHeight="1" thickTop="1" thickBot="1" x14ac:dyDescent="0.3">
      <c r="B13" s="67" t="s">
        <v>0</v>
      </c>
      <c r="C13" s="68"/>
      <c r="D13" s="69"/>
    </row>
    <row r="14" spans="1:5" ht="18.95" customHeight="1" thickTop="1" x14ac:dyDescent="0.25">
      <c r="B14" s="70" t="s">
        <v>1</v>
      </c>
      <c r="C14" s="71"/>
      <c r="D14" s="55">
        <v>0</v>
      </c>
    </row>
    <row r="15" spans="1:5" ht="18.95" customHeight="1" x14ac:dyDescent="0.25">
      <c r="B15" s="72" t="s">
        <v>13</v>
      </c>
      <c r="C15" s="73"/>
      <c r="D15" s="56">
        <v>0</v>
      </c>
    </row>
    <row r="16" spans="1:5" ht="18.95" customHeight="1" x14ac:dyDescent="0.25">
      <c r="B16" s="72" t="s">
        <v>2</v>
      </c>
      <c r="C16" s="73"/>
      <c r="D16" s="57">
        <v>0</v>
      </c>
    </row>
    <row r="17" spans="1:5" ht="18.95" customHeight="1" x14ac:dyDescent="0.25">
      <c r="B17" s="74" t="s">
        <v>3</v>
      </c>
      <c r="C17" s="75"/>
      <c r="D17" s="12">
        <f>FV(taxa_mensal,(qtd_anos*12),(aporte*-1))</f>
        <v>0</v>
      </c>
    </row>
    <row r="18" spans="1:5" ht="18.95" customHeight="1" thickBot="1" x14ac:dyDescent="0.3">
      <c r="B18" s="76" t="s">
        <v>4</v>
      </c>
      <c r="C18" s="77"/>
      <c r="D18" s="13">
        <f>patrimonio*Rendimento_carteira</f>
        <v>0</v>
      </c>
    </row>
    <row r="19" spans="1:5" ht="18" thickTop="1" thickBot="1" x14ac:dyDescent="0.3">
      <c r="B19" s="28"/>
    </row>
    <row r="20" spans="1:5" s="29" customFormat="1" ht="27.95" customHeight="1" thickTop="1" thickBot="1" x14ac:dyDescent="0.3">
      <c r="B20" s="24" t="s">
        <v>30</v>
      </c>
      <c r="C20" s="24" t="s">
        <v>31</v>
      </c>
      <c r="D20" s="24" t="s">
        <v>32</v>
      </c>
      <c r="E20" s="30"/>
    </row>
    <row r="21" spans="1:5" ht="18.95" customHeight="1" thickTop="1" x14ac:dyDescent="0.25">
      <c r="A21" s="31">
        <v>2</v>
      </c>
      <c r="B21" s="8" t="s">
        <v>5</v>
      </c>
      <c r="C21" s="15">
        <f>FV($D$16,$A21*12,$D$14*-1)</f>
        <v>0</v>
      </c>
      <c r="D21" s="16">
        <f>C21*Rendimento_carteira</f>
        <v>0</v>
      </c>
    </row>
    <row r="22" spans="1:5" ht="18.95" customHeight="1" x14ac:dyDescent="0.25">
      <c r="A22" s="31">
        <v>5</v>
      </c>
      <c r="B22" s="9" t="s">
        <v>7</v>
      </c>
      <c r="C22" s="17">
        <f>FV($D$16,$A22*12,$D$14*-1)</f>
        <v>0</v>
      </c>
      <c r="D22" s="18">
        <f>C22*Rendimento_carteira</f>
        <v>0</v>
      </c>
    </row>
    <row r="23" spans="1:5" ht="18.95" customHeight="1" x14ac:dyDescent="0.25">
      <c r="A23" s="31">
        <v>10</v>
      </c>
      <c r="B23" s="9" t="s">
        <v>8</v>
      </c>
      <c r="C23" s="17">
        <f>FV($D$16,$A23*12,$D$14*-1)</f>
        <v>0</v>
      </c>
      <c r="D23" s="18">
        <f>C23*Rendimento_carteira</f>
        <v>0</v>
      </c>
    </row>
    <row r="24" spans="1:5" ht="18.95" customHeight="1" x14ac:dyDescent="0.25">
      <c r="A24" s="31">
        <v>20</v>
      </c>
      <c r="B24" s="9" t="s">
        <v>9</v>
      </c>
      <c r="C24" s="17">
        <f>FV($D$16,$A24*12,$D$14*-1)</f>
        <v>0</v>
      </c>
      <c r="D24" s="18">
        <f>C24*Rendimento_carteira</f>
        <v>0</v>
      </c>
    </row>
    <row r="25" spans="1:5" ht="18.95" customHeight="1" thickBot="1" x14ac:dyDescent="0.3">
      <c r="A25" s="31">
        <v>30</v>
      </c>
      <c r="B25" s="10" t="s">
        <v>6</v>
      </c>
      <c r="C25" s="19">
        <f>FV($D$16,$A25*12,$D$14*-1)</f>
        <v>0</v>
      </c>
      <c r="D25" s="20">
        <f>C25*Rendimento_carteira</f>
        <v>0</v>
      </c>
    </row>
    <row r="26" spans="1:5" ht="18.95" customHeight="1" thickTop="1" thickBot="1" x14ac:dyDescent="0.3">
      <c r="A26" s="31"/>
      <c r="B26" s="21"/>
      <c r="C26" s="11"/>
      <c r="D26" s="11"/>
    </row>
    <row r="27" spans="1:5" ht="27.95" customHeight="1" thickTop="1" thickBot="1" x14ac:dyDescent="0.3">
      <c r="A27" s="31"/>
      <c r="B27" s="62" t="s">
        <v>36</v>
      </c>
      <c r="C27" s="63"/>
      <c r="D27" s="64"/>
    </row>
    <row r="28" spans="1:5" s="34" customFormat="1" ht="18" customHeight="1" thickTop="1" x14ac:dyDescent="0.25">
      <c r="A28" s="32"/>
      <c r="B28" s="22"/>
      <c r="C28" s="7"/>
      <c r="D28" s="7"/>
      <c r="E28" s="33"/>
    </row>
    <row r="29" spans="1:5" ht="18.95" customHeight="1" x14ac:dyDescent="0.25">
      <c r="B29" s="37"/>
      <c r="C29" s="38" t="s">
        <v>29</v>
      </c>
      <c r="D29" s="39"/>
    </row>
    <row r="30" spans="1:5" ht="18.95" customHeight="1" x14ac:dyDescent="0.25">
      <c r="B30" s="36" t="s">
        <v>37</v>
      </c>
      <c r="C30" s="61" t="s">
        <v>15</v>
      </c>
      <c r="D30" s="35"/>
    </row>
    <row r="31" spans="1:5" ht="18.95" customHeight="1" x14ac:dyDescent="0.25">
      <c r="B31" s="59" t="s">
        <v>34</v>
      </c>
      <c r="C31" s="58">
        <f>aporte</f>
        <v>0</v>
      </c>
      <c r="D31" s="60"/>
    </row>
    <row r="32" spans="1:5" ht="18" customHeight="1" thickBot="1" x14ac:dyDescent="0.3"/>
    <row r="33" spans="2:4" ht="18.95" customHeight="1" thickTop="1" thickBot="1" x14ac:dyDescent="0.3">
      <c r="B33" s="49" t="s">
        <v>33</v>
      </c>
      <c r="C33" s="49" t="s">
        <v>21</v>
      </c>
      <c r="D33" s="49" t="s">
        <v>22</v>
      </c>
    </row>
    <row r="34" spans="2:4" ht="18.95" customHeight="1" thickTop="1" x14ac:dyDescent="0.25">
      <c r="B34" s="43" t="s">
        <v>19</v>
      </c>
      <c r="C34" s="40">
        <f>IFERROR(VLOOKUP($C$30&amp;"-"&amp;$B34,Tab_apoio!$A:$D,4,0),"Selecione seu perfil")</f>
        <v>0.32</v>
      </c>
      <c r="D34" s="44">
        <f>IFERROR((C34*$C$31),"Aguardando Perfil")</f>
        <v>0</v>
      </c>
    </row>
    <row r="35" spans="2:4" ht="18.95" customHeight="1" x14ac:dyDescent="0.25">
      <c r="B35" s="45" t="s">
        <v>20</v>
      </c>
      <c r="C35" s="41">
        <f>IFERROR(VLOOKUP($C$30&amp;"-"&amp;$B35,Tab_apoio!$A:$D,4,0),"Selecione seu perfil")</f>
        <v>0.35</v>
      </c>
      <c r="D35" s="46">
        <f t="shared" ref="D35:D39" si="0">IFERROR((C35*$C$31),"Aguardando Perfil")</f>
        <v>0</v>
      </c>
    </row>
    <row r="36" spans="2:4" ht="18.95" customHeight="1" x14ac:dyDescent="0.25">
      <c r="B36" s="45" t="s">
        <v>23</v>
      </c>
      <c r="C36" s="41">
        <f>IFERROR(VLOOKUP($C$30&amp;"-"&amp;$B36,Tab_apoio!$A:$D,4,0),"Selecione seu perfil")</f>
        <v>0.08</v>
      </c>
      <c r="D36" s="46">
        <f t="shared" si="0"/>
        <v>0</v>
      </c>
    </row>
    <row r="37" spans="2:4" ht="18.95" customHeight="1" x14ac:dyDescent="0.25">
      <c r="B37" s="45" t="s">
        <v>24</v>
      </c>
      <c r="C37" s="41">
        <f>IFERROR(VLOOKUP($C$30&amp;"-"&amp;$B37,Tab_apoio!$A:$D,4,0),"Selecione seu perfil")</f>
        <v>0.05</v>
      </c>
      <c r="D37" s="46">
        <f t="shared" si="0"/>
        <v>0</v>
      </c>
    </row>
    <row r="38" spans="2:4" ht="18.95" customHeight="1" x14ac:dyDescent="0.25">
      <c r="B38" s="45" t="s">
        <v>25</v>
      </c>
      <c r="C38" s="41">
        <f>IFERROR(VLOOKUP($C$30&amp;"-"&amp;$B38,Tab_apoio!$A:$D,4,0),"Selecione seu perfil")</f>
        <v>0.1</v>
      </c>
      <c r="D38" s="46">
        <f t="shared" si="0"/>
        <v>0</v>
      </c>
    </row>
    <row r="39" spans="2:4" ht="18.95" customHeight="1" thickBot="1" x14ac:dyDescent="0.3">
      <c r="B39" s="47" t="s">
        <v>26</v>
      </c>
      <c r="C39" s="42">
        <f>IFERROR(VLOOKUP($C$30&amp;"-"&amp;$B39,Tab_apoio!$A:$D,4,0),"Selecione seu perfil")</f>
        <v>0.1</v>
      </c>
      <c r="D39" s="48">
        <f t="shared" si="0"/>
        <v>0</v>
      </c>
    </row>
    <row r="40" spans="2:4" ht="18.95" customHeight="1" thickTop="1" thickBot="1" x14ac:dyDescent="0.3">
      <c r="B40" s="50" t="s">
        <v>35</v>
      </c>
      <c r="C40" s="51"/>
      <c r="D40" s="52">
        <f>SUM(D34:D39)</f>
        <v>0</v>
      </c>
    </row>
    <row r="41" spans="2:4" ht="18" customHeight="1" thickTop="1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</sheetData>
  <sheetProtection sheet="1" objects="1" scenarios="1"/>
  <mergeCells count="11">
    <mergeCell ref="B27:D27"/>
    <mergeCell ref="B11:C11"/>
    <mergeCell ref="B13:D13"/>
    <mergeCell ref="B8:D8"/>
    <mergeCell ref="B9:C9"/>
    <mergeCell ref="B14:C14"/>
    <mergeCell ref="B15:C15"/>
    <mergeCell ref="B16:C16"/>
    <mergeCell ref="B17:C17"/>
    <mergeCell ref="B18:C18"/>
    <mergeCell ref="B10:C10"/>
  </mergeCells>
  <dataValidations count="1">
    <dataValidation type="list" allowBlank="1" showInputMessage="1" showErrorMessage="1" errorTitle="Seleção de Perfil" error="Selecione um perfil da lista suspensa" promptTitle="Seleção de Perfil" prompt="Selecione um perfil da lista suspensa" sqref="C30" xr:uid="{33B99533-1D85-4B18-8F9A-1578989624A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780F-0F04-426B-9BC9-279ABA4D1AAC}">
  <dimension ref="A1:D20"/>
  <sheetViews>
    <sheetView showGridLines="0" workbookViewId="0">
      <selection activeCell="A20" sqref="A20:XFD20"/>
    </sheetView>
  </sheetViews>
  <sheetFormatPr defaultColWidth="0" defaultRowHeight="15" zeroHeight="1" x14ac:dyDescent="0.25"/>
  <cols>
    <col min="1" max="1" width="31.28515625" style="1" bestFit="1" customWidth="1"/>
    <col min="2" max="2" width="12.140625" style="1" bestFit="1" customWidth="1"/>
    <col min="3" max="3" width="19" style="1" bestFit="1" customWidth="1"/>
    <col min="4" max="4" width="9.140625" style="1" customWidth="1"/>
    <col min="5" max="5" width="9.140625" style="1" hidden="1" customWidth="1"/>
    <col min="6" max="16384" width="9.140625" style="1" hidden="1"/>
  </cols>
  <sheetData>
    <row r="1" spans="1:4" x14ac:dyDescent="0.25">
      <c r="A1" s="6" t="s">
        <v>28</v>
      </c>
      <c r="B1" s="6" t="s">
        <v>14</v>
      </c>
      <c r="C1" s="6" t="s">
        <v>18</v>
      </c>
      <c r="D1" s="6" t="s">
        <v>27</v>
      </c>
    </row>
    <row r="2" spans="1:4" ht="16.5" x14ac:dyDescent="0.25">
      <c r="A2" s="1" t="str">
        <f>B2&amp;"-"&amp;$C2</f>
        <v>Conservador-PAPEL</v>
      </c>
      <c r="B2" s="1" t="s">
        <v>16</v>
      </c>
      <c r="C2" s="1" t="s">
        <v>19</v>
      </c>
      <c r="D2" s="3">
        <v>0.3</v>
      </c>
    </row>
    <row r="3" spans="1:4" ht="16.5" x14ac:dyDescent="0.25">
      <c r="A3" s="1" t="str">
        <f t="shared" ref="A3:A7" si="0">B3&amp;"-"&amp;$C3</f>
        <v>Conservador-TIJOLO</v>
      </c>
      <c r="B3" s="1" t="s">
        <v>16</v>
      </c>
      <c r="C3" s="1" t="s">
        <v>20</v>
      </c>
      <c r="D3" s="3">
        <v>0.5</v>
      </c>
    </row>
    <row r="4" spans="1:4" ht="16.5" x14ac:dyDescent="0.25">
      <c r="A4" s="1" t="str">
        <f t="shared" si="0"/>
        <v>Conservador-HIBRIDOS</v>
      </c>
      <c r="B4" s="1" t="s">
        <v>16</v>
      </c>
      <c r="C4" s="1" t="s">
        <v>23</v>
      </c>
      <c r="D4" s="3">
        <v>0.1</v>
      </c>
    </row>
    <row r="5" spans="1:4" ht="16.5" x14ac:dyDescent="0.25">
      <c r="A5" s="1" t="str">
        <f t="shared" si="0"/>
        <v>Conservador-FOFs</v>
      </c>
      <c r="B5" s="1" t="s">
        <v>16</v>
      </c>
      <c r="C5" s="1" t="s">
        <v>24</v>
      </c>
      <c r="D5" s="3">
        <v>0.1</v>
      </c>
    </row>
    <row r="6" spans="1:4" ht="16.5" x14ac:dyDescent="0.25">
      <c r="A6" s="1" t="str">
        <f t="shared" si="0"/>
        <v>Conservador-DESENVOLVIMENTO</v>
      </c>
      <c r="B6" s="1" t="s">
        <v>16</v>
      </c>
      <c r="C6" s="1" t="s">
        <v>25</v>
      </c>
      <c r="D6" s="3">
        <v>0</v>
      </c>
    </row>
    <row r="7" spans="1:4" ht="17.25" thickBot="1" x14ac:dyDescent="0.3">
      <c r="A7" s="4" t="str">
        <f t="shared" si="0"/>
        <v>Conservador-HOTELARIAS</v>
      </c>
      <c r="B7" s="4" t="s">
        <v>16</v>
      </c>
      <c r="C7" s="4" t="s">
        <v>26</v>
      </c>
      <c r="D7" s="5">
        <v>0</v>
      </c>
    </row>
    <row r="8" spans="1:4" ht="17.25" thickTop="1" x14ac:dyDescent="0.25">
      <c r="A8" s="1" t="str">
        <f>B8&amp;"-"&amp;$C2</f>
        <v>Moderado-PAPEL</v>
      </c>
      <c r="B8" s="1" t="s">
        <v>15</v>
      </c>
      <c r="C8" s="1" t="s">
        <v>19</v>
      </c>
      <c r="D8" s="3">
        <v>0.32</v>
      </c>
    </row>
    <row r="9" spans="1:4" ht="16.5" x14ac:dyDescent="0.25">
      <c r="A9" s="1" t="str">
        <f t="shared" ref="A9:A13" si="1">B9&amp;"-"&amp;$C3</f>
        <v>Moderado-TIJOLO</v>
      </c>
      <c r="B9" s="1" t="s">
        <v>15</v>
      </c>
      <c r="C9" s="1" t="s">
        <v>20</v>
      </c>
      <c r="D9" s="3">
        <v>0.35</v>
      </c>
    </row>
    <row r="10" spans="1:4" ht="16.5" x14ac:dyDescent="0.25">
      <c r="A10" s="1" t="str">
        <f t="shared" si="1"/>
        <v>Moderado-HIBRIDOS</v>
      </c>
      <c r="B10" s="1" t="s">
        <v>15</v>
      </c>
      <c r="C10" s="1" t="s">
        <v>23</v>
      </c>
      <c r="D10" s="3">
        <v>0.08</v>
      </c>
    </row>
    <row r="11" spans="1:4" ht="16.5" x14ac:dyDescent="0.25">
      <c r="A11" s="1" t="str">
        <f t="shared" si="1"/>
        <v>Moderado-FOFs</v>
      </c>
      <c r="B11" s="1" t="s">
        <v>15</v>
      </c>
      <c r="C11" s="1" t="s">
        <v>24</v>
      </c>
      <c r="D11" s="3">
        <v>0.05</v>
      </c>
    </row>
    <row r="12" spans="1:4" ht="16.5" x14ac:dyDescent="0.25">
      <c r="A12" s="1" t="str">
        <f t="shared" si="1"/>
        <v>Moderado-DESENVOLVIMENTO</v>
      </c>
      <c r="B12" s="1" t="s">
        <v>15</v>
      </c>
      <c r="C12" s="1" t="s">
        <v>25</v>
      </c>
      <c r="D12" s="3">
        <v>0.1</v>
      </c>
    </row>
    <row r="13" spans="1:4" ht="17.25" thickBot="1" x14ac:dyDescent="0.3">
      <c r="A13" s="4" t="str">
        <f t="shared" si="1"/>
        <v>Moderado-HOTELARIAS</v>
      </c>
      <c r="B13" s="4" t="s">
        <v>15</v>
      </c>
      <c r="C13" s="4" t="s">
        <v>26</v>
      </c>
      <c r="D13" s="5">
        <v>0.1</v>
      </c>
    </row>
    <row r="14" spans="1:4" ht="17.25" thickTop="1" x14ac:dyDescent="0.25">
      <c r="A14" s="1" t="str">
        <f>B14&amp;"-"&amp;$C2</f>
        <v>Agressivo-PAPEL</v>
      </c>
      <c r="B14" s="1" t="s">
        <v>17</v>
      </c>
      <c r="C14" s="1" t="s">
        <v>19</v>
      </c>
      <c r="D14" s="3">
        <v>0.5</v>
      </c>
    </row>
    <row r="15" spans="1:4" ht="16.5" x14ac:dyDescent="0.25">
      <c r="A15" s="1" t="str">
        <f t="shared" ref="A15:A19" si="2">B15&amp;"-"&amp;$C3</f>
        <v>Agressivo-TIJOLO</v>
      </c>
      <c r="B15" s="1" t="s">
        <v>17</v>
      </c>
      <c r="C15" s="1" t="s">
        <v>20</v>
      </c>
      <c r="D15" s="3">
        <v>0.1</v>
      </c>
    </row>
    <row r="16" spans="1:4" ht="16.5" x14ac:dyDescent="0.25">
      <c r="A16" s="1" t="str">
        <f t="shared" si="2"/>
        <v>Agressivo-HIBRIDOS</v>
      </c>
      <c r="B16" s="1" t="s">
        <v>17</v>
      </c>
      <c r="C16" s="1" t="s">
        <v>23</v>
      </c>
      <c r="D16" s="3">
        <v>0.05</v>
      </c>
    </row>
    <row r="17" spans="1:4" ht="16.5" x14ac:dyDescent="0.25">
      <c r="A17" s="1" t="str">
        <f t="shared" si="2"/>
        <v>Agressivo-FOFs</v>
      </c>
      <c r="B17" s="1" t="s">
        <v>17</v>
      </c>
      <c r="C17" s="1" t="s">
        <v>24</v>
      </c>
      <c r="D17" s="3">
        <v>0.05</v>
      </c>
    </row>
    <row r="18" spans="1:4" ht="16.5" x14ac:dyDescent="0.25">
      <c r="A18" s="1" t="str">
        <f t="shared" si="2"/>
        <v>Agressivo-DESENVOLVIMENTO</v>
      </c>
      <c r="B18" s="1" t="s">
        <v>17</v>
      </c>
      <c r="C18" s="1" t="s">
        <v>25</v>
      </c>
      <c r="D18" s="3">
        <v>0.2</v>
      </c>
    </row>
    <row r="19" spans="1:4" ht="17.25" thickBot="1" x14ac:dyDescent="0.3">
      <c r="A19" s="4" t="str">
        <f t="shared" si="2"/>
        <v>Agressivo-HOTELARIAS</v>
      </c>
      <c r="B19" s="4" t="s">
        <v>17</v>
      </c>
      <c r="C19" s="4" t="s">
        <v>26</v>
      </c>
      <c r="D19" s="5">
        <v>0.1</v>
      </c>
    </row>
    <row r="20" spans="1:4" ht="15.75" hidden="1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Reis_Invest</vt:lpstr>
      <vt:lpstr>Tab_apoio</vt:lpstr>
      <vt:lpstr>aporte</vt:lpstr>
      <vt:lpstr>insira_perfil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 Reis</dc:creator>
  <cp:lastModifiedBy>André  Reis</cp:lastModifiedBy>
  <cp:lastPrinted>2026-07-31T10:01:55Z</cp:lastPrinted>
  <dcterms:created xsi:type="dcterms:W3CDTF">2026-07-31T08:32:50Z</dcterms:created>
  <dcterms:modified xsi:type="dcterms:W3CDTF">2026-08-01T18:06:08Z</dcterms:modified>
</cp:coreProperties>
</file>